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- Mechanical BOM" sheetId="1" state="visible" r:id="rId3"/>
    <sheet name="2 - Electronics BOM" sheetId="2" state="visible" r:id="rId4"/>
    <sheet name="3 - Fasteners &amp; Supplies" sheetId="3" state="visible" r:id="rId5"/>
    <sheet name="4 - Grand Total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<sst xmlns="http://schemas.openxmlformats.org/spreadsheetml/2006/main" count="361" uniqueCount="221">
  <si>
    <t xml:space="preserve">Bill of Materials — Structural &amp; Mechanical Components</t>
  </si>
  <si>
    <t xml:space="preserve">Designator</t>
  </si>
  <si>
    <t xml:space="preserve">Component</t>
  </si>
  <si>
    <t xml:space="preserve">No.</t>
  </si>
  <si>
    <t xml:space="preserve">Cost/unit (USD)</t>
  </si>
  <si>
    <t xml:space="preserve">Total cost (USD)</t>
  </si>
  <si>
    <t xml:space="preserve">Source of materials</t>
  </si>
  <si>
    <t xml:space="preserve">Material type</t>
  </si>
  <si>
    <t xml:space="preserve">STRUCTURAL FRAME</t>
  </si>
  <si>
    <t xml:space="preserve">Structural_frame1/2; Z_Motor_mount1/2 and Z-smooth_rod</t>
  </si>
  <si>
    <t xml:space="preserve">Stainless steel rod 12 mm × 500 mm. Reused legacy printer</t>
  </si>
  <si>
    <t xml:space="preserve">https://es.aliexpress.com/item/1005009384686024.html</t>
  </si>
  <si>
    <t xml:space="preserve">Metal</t>
  </si>
  <si>
    <t xml:space="preserve">Corner_bracket_L/R/FL/FR</t>
  </si>
  <si>
    <t xml:space="preserve">Printed corner bracket, PLA, 133 g</t>
  </si>
  <si>
    <t xml:space="preserve">In-house FFF, UPB workshop</t>
  </si>
  <si>
    <t xml:space="preserve">Polymer</t>
  </si>
  <si>
    <t xml:space="preserve">Motor_mount_bracket_L/R</t>
  </si>
  <si>
    <t xml:space="preserve">Printed motor mount, PLA, 121 g</t>
  </si>
  <si>
    <t xml:space="preserve">Pulley_mount_bracket_L/R</t>
  </si>
  <si>
    <t xml:space="preserve">Printed pulley housing, PLA, 50 g</t>
  </si>
  <si>
    <t xml:space="preserve">Pulley_support_L/R</t>
  </si>
  <si>
    <t xml:space="preserve">Printed pulley support, PLA, 29 g</t>
  </si>
  <si>
    <t xml:space="preserve">Nema 17</t>
  </si>
  <si>
    <t xml:space="preserve">NEMA 17 stepper motor, 0.6 N·m</t>
  </si>
  <si>
    <t xml:space="preserve">https://es.aliexpress.com/item/1005010127780067.html</t>
  </si>
  <si>
    <t xml:space="preserve">MGN12_rail</t>
  </si>
  <si>
    <t xml:space="preserve">MGN12 linear guide rail, 400 mm</t>
  </si>
  <si>
    <t xml:space="preserve">https://es.aliexpress.com/item/1005007149925240.html</t>
  </si>
  <si>
    <t xml:space="preserve">Belt_lower/upper</t>
  </si>
  <si>
    <t xml:space="preserve">GT2 timing belt, 6 mm wide, per metre</t>
  </si>
  <si>
    <t xml:space="preserve">https://es.aliexpress.com/item/1005010670220355.html</t>
  </si>
  <si>
    <t xml:space="preserve">2GT_pulley20T</t>
  </si>
  <si>
    <t xml:space="preserve">GT2 20-tooth drive pulley, 5 mm bore</t>
  </si>
  <si>
    <t xml:space="preserve">https://es.aliexpress.com/item/1005012119340007.html</t>
  </si>
  <si>
    <t xml:space="preserve">2GT_idler_16T</t>
  </si>
  <si>
    <t xml:space="preserve">GT2 16-tooth idler pulley with bearing</t>
  </si>
  <si>
    <t xml:space="preserve">https://es.aliexpress.com/item/1005004893007344.html</t>
  </si>
  <si>
    <t xml:space="preserve">Microswitch</t>
  </si>
  <si>
    <t xml:space="preserve">Endstop microswitch, SPDT, 1 A</t>
  </si>
  <si>
    <t xml:space="preserve">https://es.aliexpress.com/item/1005009049556408.html</t>
  </si>
  <si>
    <t xml:space="preserve">Semiconductor</t>
  </si>
  <si>
    <t xml:space="preserve">Z-AXIS</t>
  </si>
  <si>
    <t xml:space="preserve">Z-mount and Z-Endswitch_trigger</t>
  </si>
  <si>
    <t xml:space="preserve">Printed Z-axis bracket, PLA, 11 g</t>
  </si>
  <si>
    <t xml:space="preserve">Z-axis_lead_screw</t>
  </si>
  <si>
    <t xml:space="preserve">Reused legacy printer. Can be printed</t>
  </si>
  <si>
    <t xml:space="preserve">Trapezoidal_lead_screw_10mm</t>
  </si>
  <si>
    <t xml:space="preserve">Trapezoidal lead screw T10, 2 mm pitch, 300 mm + nut</t>
  </si>
  <si>
    <t xml:space="preserve">https://es.aliexpress.com/item/4000909583486.html</t>
  </si>
  <si>
    <t xml:space="preserve">Flexible_coupling_6mm</t>
  </si>
  <si>
    <t xml:space="preserve">D15 L22 6-6 mm. Connection to trapezoidal lead screw</t>
  </si>
  <si>
    <t xml:space="preserve">https://es.aliexpress.com/item/1005005551683727.html</t>
  </si>
  <si>
    <t xml:space="preserve">Linear_slide_bush_L/R and Z-sliding_bushing_L/R</t>
  </si>
  <si>
    <t xml:space="preserve">Custom linear bushing, machined. Reused legacy printer</t>
  </si>
  <si>
    <t xml:space="preserve">-</t>
  </si>
  <si>
    <t xml:space="preserve">In-house UPB milling machine</t>
  </si>
  <si>
    <t xml:space="preserve">Ball_sleeve_KH1228</t>
  </si>
  <si>
    <t xml:space="preserve">KH1228. Reused legacy printer</t>
  </si>
  <si>
    <t xml:space="preserve">https://es.aliexpress.com/w/wholesale-KH1228.html</t>
  </si>
  <si>
    <t xml:space="preserve">Nema 23</t>
  </si>
  <si>
    <t xml:space="preserve">NEMA 23 stepper motor, 1.3 N·m</t>
  </si>
  <si>
    <t xml:space="preserve">https://es.aliexpress.com/item/1005004803177431.html</t>
  </si>
  <si>
    <t xml:space="preserve">PRINT BED</t>
  </si>
  <si>
    <t xml:space="preserve">Heat_bed</t>
  </si>
  <si>
    <t xml:space="preserve">Heated bed, 200 mm dia., 24 V, 120 W. Reused Kossel delta.</t>
  </si>
  <si>
    <t xml:space="preserve">https://es.aliexpress.com/item/1005010009605532.html</t>
  </si>
  <si>
    <t xml:space="preserve">Bed_support</t>
  </si>
  <si>
    <t xml:space="preserve">Machined. Reused legacy printer.</t>
  </si>
  <si>
    <t xml:space="preserve">In-house, UPB workshop</t>
  </si>
  <si>
    <t xml:space="preserve">Heat_bed_mount</t>
  </si>
  <si>
    <t xml:space="preserve">Heat_bed_support and Heat_bed_mount_support</t>
  </si>
  <si>
    <t xml:space="preserve">Centring_bracket and Clamp_centring_bracket</t>
  </si>
  <si>
    <t xml:space="preserve">Printed centering bed, PLA, 73 g</t>
  </si>
  <si>
    <t xml:space="preserve">Leveling_feet and Leveling_feet_screw</t>
  </si>
  <si>
    <t xml:space="preserve">In-house UPB workshop</t>
  </si>
  <si>
    <t xml:space="preserve">Bed_feet</t>
  </si>
  <si>
    <t xml:space="preserve">Reused legacy printer.</t>
  </si>
  <si>
    <t xml:space="preserve">In-house UPB</t>
  </si>
  <si>
    <t xml:space="preserve">EXTRUDER AND HOTEND</t>
  </si>
  <si>
    <t xml:space="preserve">E3DV5</t>
  </si>
  <si>
    <t xml:space="preserve">3DV5 hotend assembly, 0.4 mm nozzle, 24 V</t>
  </si>
  <si>
    <t xml:space="preserve">Reused from Anycubic Kossel Plus Delta</t>
  </si>
  <si>
    <t xml:space="preserve">Extruder_body; Extruder_mount and X-Endswitch_trigger</t>
  </si>
  <si>
    <t xml:space="preserve">Printed extruder body, PLA, 43.5 g</t>
  </si>
  <si>
    <t xml:space="preserve">4020TB</t>
  </si>
  <si>
    <t xml:space="preserve">40×20 mm radial blower fan, 12 V, 0.1 A</t>
  </si>
  <si>
    <t xml:space="preserve">https://es.aliexpress.com/item/1005005517858332.html</t>
  </si>
  <si>
    <t xml:space="preserve">Fan_support</t>
  </si>
  <si>
    <t xml:space="preserve">Printed part-cooling 4020 blower fan support, PLA, 7 g</t>
  </si>
  <si>
    <t xml:space="preserve">Duct_radial</t>
  </si>
  <si>
    <t xml:space="preserve">Printed cooling fan heat skin, PLA, 7 g</t>
  </si>
  <si>
    <t xml:space="preserve">Duct_Blower1/2</t>
  </si>
  <si>
    <t xml:space="preserve">Printed duct layer fan, PLA, 5 g</t>
  </si>
  <si>
    <t xml:space="preserve">Fan4010</t>
  </si>
  <si>
    <t xml:space="preserve">40×10 mm radial heat skin fan, 12 V, 0.1 A</t>
  </si>
  <si>
    <t xml:space="preserve">https://es.aliexpress.com/item/1005006306536871.html</t>
  </si>
  <si>
    <t xml:space="preserve">Bowden_tube</t>
  </si>
  <si>
    <t xml:space="preserve">PTFE tube, 2 mm ID / 4 mm OD, per metre</t>
  </si>
  <si>
    <t xml:space="preserve">https://es.aliexpress.com/item/1005003579739761.html</t>
  </si>
  <si>
    <t xml:space="preserve">Extruder_MK8</t>
  </si>
  <si>
    <t xml:space="preserve">Kit idler pivot loaded system</t>
  </si>
  <si>
    <t xml:space="preserve">https://es.aliexpress.com/item/1005003217904544.html</t>
  </si>
  <si>
    <t xml:space="preserve">FORCE SENSING MODULE</t>
  </si>
  <si>
    <t xml:space="preserve">Load_cell_75mm</t>
  </si>
  <si>
    <t xml:space="preserve">Bending-beam load cell, 75 mm, 1 kg, ±0.05% FS</t>
  </si>
  <si>
    <t xml:space="preserve">https://es.aliexpress.com/item/1005012383607240.html</t>
  </si>
  <si>
    <t xml:space="preserve">HX711</t>
  </si>
  <si>
    <t xml:space="preserve">HX711 24-bit ADC amplifier board</t>
  </si>
  <si>
    <t xml:space="preserve">Load_cell_mount; Load_cell_heatsink_support and Load_cell_heatsink_fastening</t>
  </si>
  <si>
    <t xml:space="preserve">Printed load cell mounting bracket, PLA, 20 g</t>
  </si>
  <si>
    <t xml:space="preserve">Sensors_support_arm and Sensors_support</t>
  </si>
  <si>
    <t xml:space="preserve">Printed sensor support, PLA, 18 g</t>
  </si>
  <si>
    <t xml:space="preserve">SUBTOTAL — Mechanical &amp; Structural (USD)</t>
  </si>
  <si>
    <t xml:space="preserve">Bill of Materials — Electronics &amp; Cable Management</t>
  </si>
  <si>
    <t xml:space="preserve">ELECTRONICS AND CONTROL</t>
  </si>
  <si>
    <t xml:space="preserve">Duet3D_board</t>
  </si>
  <si>
    <t xml:space="preserve">Duet Maestro 2, RepRapFirmware</t>
  </si>
  <si>
    <t xml:space="preserve">https://es.aliexpress.com/item/1005005037824542.html</t>
  </si>
  <si>
    <t xml:space="preserve">Arduinonano</t>
  </si>
  <si>
    <t xml:space="preserve">Arduino Nano V3.0 Mini CH340</t>
  </si>
  <si>
    <t xml:space="preserve">https://es.aliexpress.com/item/1005008982247575.html</t>
  </si>
  <si>
    <t xml:space="preserve">NRF24L01</t>
  </si>
  <si>
    <t xml:space="preserve">NRF24L01 + antenna</t>
  </si>
  <si>
    <t xml:space="preserve">https://es.aliexpress.com/item/1005006975747743.html</t>
  </si>
  <si>
    <t xml:space="preserve">Power_supply</t>
  </si>
  <si>
    <t xml:space="preserve">MeanWell LRS-350-24, 24 V / 14.6 A</t>
  </si>
  <si>
    <t xml:space="preserve">https://es.aliexpress.com/item/1005009359704155.html</t>
  </si>
  <si>
    <t xml:space="preserve">DC-DC_3A</t>
  </si>
  <si>
    <t xml:space="preserve">DC-DC buck converter, 24 V to 5 V, 3 A</t>
  </si>
  <si>
    <t xml:space="preserve">https://es.aliexpress.com/item/1005012415089723.html</t>
  </si>
  <si>
    <t xml:space="preserve">L15841</t>
  </si>
  <si>
    <t xml:space="preserve">DC-DC MP1584EN 3 A 3.3/5/9/12 V</t>
  </si>
  <si>
    <t xml:space="preserve">https://es.aliexpress.com/item/1005012144215392.html</t>
  </si>
  <si>
    <t xml:space="preserve">CABLE MANAGEMENT</t>
  </si>
  <si>
    <t xml:space="preserve">Energy_chain</t>
  </si>
  <si>
    <t xml:space="preserve">Cable drag chain, 10 mm, 500 mm</t>
  </si>
  <si>
    <t xml:space="preserve">https://es.aliexpress.com/w/wholesale-Cable-drag-chain-10mm.html</t>
  </si>
  <si>
    <t xml:space="preserve">Wire_clip</t>
  </si>
  <si>
    <t xml:space="preserve">Printed wire routing clip, PLA, 19.5 g</t>
  </si>
  <si>
    <t xml:space="preserve">Wiring_harness</t>
  </si>
  <si>
    <t xml:space="preserve">Shielded cables, connectors, ferrules</t>
  </si>
  <si>
    <t xml:space="preserve">Local store</t>
  </si>
  <si>
    <t xml:space="preserve">Wiring</t>
  </si>
  <si>
    <t xml:space="preserve">Power_supply_anchors</t>
  </si>
  <si>
    <t xml:space="preserve">Sheet metal part</t>
  </si>
  <si>
    <t xml:space="preserve">Duet3D_board_separator</t>
  </si>
  <si>
    <t xml:space="preserve">Printed spacer. Can be printed in PLA.</t>
  </si>
  <si>
    <t xml:space="preserve">SUBTOTAL — Electronics (USD)</t>
  </si>
  <si>
    <t xml:space="preserve">Bill of Materials — Fasteners &amp; Consumable Supplies</t>
  </si>
  <si>
    <t xml:space="preserve">FASTENERS</t>
  </si>
  <si>
    <t xml:space="preserve">M3x5_screw</t>
  </si>
  <si>
    <t xml:space="preserve">Socket head cap screw M3×5, DIN 913</t>
  </si>
  <si>
    <t xml:space="preserve">M3x6_screw</t>
  </si>
  <si>
    <t xml:space="preserve">Socket head cap screw M3×6, DIN 912</t>
  </si>
  <si>
    <t xml:space="preserve">M3x8_set_screw</t>
  </si>
  <si>
    <t xml:space="preserve">Set screw M3×8, DIN 912</t>
  </si>
  <si>
    <t xml:space="preserve">M3x12_screw</t>
  </si>
  <si>
    <t xml:space="preserve">Socket head cap screw M3×12, DIN 912</t>
  </si>
  <si>
    <t xml:space="preserve">M3x16_screw</t>
  </si>
  <si>
    <t xml:space="preserve">Socket head cap screw M3×16, DIN 912</t>
  </si>
  <si>
    <t xml:space="preserve">M3x20_screw</t>
  </si>
  <si>
    <t xml:space="preserve">Socket head cap screw M3×20, DIN 912</t>
  </si>
  <si>
    <t xml:space="preserve">M3x25_screw</t>
  </si>
  <si>
    <t xml:space="preserve">Socket head cap screw M3×25, DIN 912</t>
  </si>
  <si>
    <t xml:space="preserve">M3x30_screw</t>
  </si>
  <si>
    <t xml:space="preserve">Socket head cap screw M3×30, DIN 912</t>
  </si>
  <si>
    <t xml:space="preserve">M3x40_screw</t>
  </si>
  <si>
    <t xml:space="preserve">Socket head cap screw M3×40, DIN 912</t>
  </si>
  <si>
    <t xml:space="preserve">M3x50_screw</t>
  </si>
  <si>
    <t xml:space="preserve">Socket head cap screw M3×50, DIN 912</t>
  </si>
  <si>
    <t xml:space="preserve">M4x10_screw</t>
  </si>
  <si>
    <t xml:space="preserve">Socket head cap screw M4×10, DIN 912</t>
  </si>
  <si>
    <t xml:space="preserve">M4x40_countersunk_screw</t>
  </si>
  <si>
    <t xml:space="preserve">Socket countersunk screw M4×40</t>
  </si>
  <si>
    <t xml:space="preserve">M5x8_screw</t>
  </si>
  <si>
    <t xml:space="preserve">Socket head cap screw M5×8, DIN 912</t>
  </si>
  <si>
    <t xml:space="preserve">M5x12_screw</t>
  </si>
  <si>
    <t xml:space="preserve">Round head screw M5×12</t>
  </si>
  <si>
    <t xml:space="preserve">M5x60_screw</t>
  </si>
  <si>
    <t xml:space="preserve">Socket head cap screw M5×60, DIN 912</t>
  </si>
  <si>
    <t xml:space="preserve">M1.6x10_screw</t>
  </si>
  <si>
    <t xml:space="preserve">Microswitch fixing screw M1.6×10</t>
  </si>
  <si>
    <t xml:space="preserve">M3_nut</t>
  </si>
  <si>
    <t xml:space="preserve">Hex nut M3, DIN 934</t>
  </si>
  <si>
    <t xml:space="preserve">M4_nut</t>
  </si>
  <si>
    <t xml:space="preserve">Hex nut M4, DIN 934</t>
  </si>
  <si>
    <t xml:space="preserve">M4_Locknut</t>
  </si>
  <si>
    <t xml:space="preserve">Hex lock nut M4</t>
  </si>
  <si>
    <t xml:space="preserve">M3_washer</t>
  </si>
  <si>
    <t xml:space="preserve">Flat washer M3, DIN 125</t>
  </si>
  <si>
    <t xml:space="preserve">CONSUMABLE SUPPLIES</t>
  </si>
  <si>
    <t xml:space="preserve">PLA</t>
  </si>
  <si>
    <t xml:space="preserve">Filament PLA, 1 Kg, 1.75 mm</t>
  </si>
  <si>
    <t xml:space="preserve">https://es.aliexpress.com/item/1005005828203221.html</t>
  </si>
  <si>
    <t xml:space="preserve">Cable sleeve</t>
  </si>
  <si>
    <t xml:space="preserve">Cable sleeve 25 mm × 3 m</t>
  </si>
  <si>
    <t xml:space="preserve">https://es.aliexpress.com/item/1005011969040670.html</t>
  </si>
  <si>
    <t xml:space="preserve">Heat-shrinkable sleeve</t>
  </si>
  <si>
    <t xml:space="preserve">Heat-shrinkable sleeve, 127 pieces set</t>
  </si>
  <si>
    <t xml:space="preserve">https://es.aliexpress.com/item/1005008146302901.html</t>
  </si>
  <si>
    <t xml:space="preserve">Plastic clamps</t>
  </si>
  <si>
    <t xml:space="preserve">Plastic clamps 2.5 mm × 150 mm, 200 pieces</t>
  </si>
  <si>
    <t xml:space="preserve">https://es.aliexpress.com/item/1005008455611389.html</t>
  </si>
  <si>
    <t xml:space="preserve">Hot-melt adhesive</t>
  </si>
  <si>
    <t xml:space="preserve">Hot-melt adhesive 11 mm × 150 mm, 10 pieces</t>
  </si>
  <si>
    <t xml:space="preserve">https://es.aliexpress.com/item/4000748720733.html</t>
  </si>
  <si>
    <t xml:space="preserve">SUBTOTAL — Fasteners &amp; Supplies (USD)</t>
  </si>
  <si>
    <t xml:space="preserve">Bill of Materials — Grand Total Summary</t>
  </si>
  <si>
    <t xml:space="preserve">Category</t>
  </si>
  <si>
    <t xml:space="preserve">Subtotal (USD)</t>
  </si>
  <si>
    <t xml:space="preserve">Notes</t>
  </si>
  <si>
    <t xml:space="preserve">Structural &amp; Mechanical Components</t>
  </si>
  <si>
    <t xml:space="preserve">Tables 5 (paper)</t>
  </si>
  <si>
    <t xml:space="preserve">Electronics &amp; Cable Management</t>
  </si>
  <si>
    <t xml:space="preserve">Table 6 (paper)</t>
  </si>
  <si>
    <t xml:space="preserve">Fasteners &amp; Consumable Supplies</t>
  </si>
  <si>
    <t xml:space="preserve">Table 7 (paper)</t>
  </si>
  <si>
    <t xml:space="preserve">GRAND TOTAL</t>
  </si>
  <si>
    <t xml:space="preserve">Total estimated cost (USD)</t>
  </si>
  <si>
    <t xml:space="preserve">Note: Cells marked '-' are reused or machined in-house with no direct material cost. Corrected totals applied: Extruder_body (3×$1.30=$3.90), Load_cell_mount (3×$0.70=$2.10), Sensors_support_arm (2×$0.54=$1.08).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</si>
</sst>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1"/>
        <bgColor rgb="FFCCFFFF"/>
      </patternFill>
    </fill>
    <fill>
      <patternFill patternType="solid">
        <fgColor rgb="FFFFC000"/>
        <bgColor rgb="FFFF99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2"/>
    <col collapsed="false" customWidth="true" hidden="false" outlineLevel="0" max="3" min="3" style="0" width="6"/>
    <col collapsed="false" customWidth="true" hidden="false" outlineLevel="0" max="5" min="4" style="0" width="14"/>
    <col collapsed="false" customWidth="true" hidden="false" outlineLevel="0" max="6" min="6" style="0" width="48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8" hidden="false" customHeight="true" outlineLevel="0" collapsed="false">
      <c r="A3" s="3" t="s">
        <v>8</v>
      </c>
      <c r="B3" s="3"/>
      <c r="C3" s="3"/>
      <c r="D3" s="3"/>
      <c r="E3" s="3"/>
      <c r="F3" s="3"/>
      <c r="G3" s="3"/>
    </row>
    <row r="4" customFormat="false" ht="27.75" hidden="false" customHeight="true" outlineLevel="0" collapsed="false">
      <c r="A4" s="4" t="s">
        <v>9</v>
      </c>
      <c r="B4" s="4" t="s">
        <v>10</v>
      </c>
      <c r="C4" s="5" t="n">
        <v>13</v>
      </c>
      <c r="D4" s="5" t="n">
        <v>23.11</v>
      </c>
      <c r="E4" s="5" t="n">
        <v>300.43</v>
      </c>
      <c r="F4" s="4" t="s">
        <v>11</v>
      </c>
      <c r="G4" s="5" t="s">
        <v>12</v>
      </c>
    </row>
    <row r="5" customFormat="false" ht="27.75" hidden="false" customHeight="true" outlineLevel="0" collapsed="false">
      <c r="A5" s="6" t="s">
        <v>13</v>
      </c>
      <c r="B5" s="6" t="s">
        <v>14</v>
      </c>
      <c r="C5" s="7" t="n">
        <v>4</v>
      </c>
      <c r="D5" s="7" t="n">
        <v>1</v>
      </c>
      <c r="E5" s="7" t="n">
        <v>4</v>
      </c>
      <c r="F5" s="6" t="s">
        <v>15</v>
      </c>
      <c r="G5" s="7" t="s">
        <v>16</v>
      </c>
    </row>
    <row r="6" customFormat="false" ht="27.75" hidden="false" customHeight="true" outlineLevel="0" collapsed="false">
      <c r="A6" s="4" t="s">
        <v>17</v>
      </c>
      <c r="B6" s="4" t="s">
        <v>18</v>
      </c>
      <c r="C6" s="5" t="n">
        <v>2</v>
      </c>
      <c r="D6" s="5" t="n">
        <v>1.81</v>
      </c>
      <c r="E6" s="5" t="n">
        <v>3.62</v>
      </c>
      <c r="F6" s="4" t="s">
        <v>15</v>
      </c>
      <c r="G6" s="5" t="s">
        <v>16</v>
      </c>
    </row>
    <row r="7" customFormat="false" ht="27.75" hidden="false" customHeight="true" outlineLevel="0" collapsed="false">
      <c r="A7" s="6" t="s">
        <v>19</v>
      </c>
      <c r="B7" s="6" t="s">
        <v>20</v>
      </c>
      <c r="C7" s="7" t="n">
        <v>2</v>
      </c>
      <c r="D7" s="7" t="n">
        <v>0.75</v>
      </c>
      <c r="E7" s="7" t="n">
        <v>1.5</v>
      </c>
      <c r="F7" s="6" t="s">
        <v>15</v>
      </c>
      <c r="G7" s="7" t="s">
        <v>16</v>
      </c>
    </row>
    <row r="8" customFormat="false" ht="27.75" hidden="false" customHeight="true" outlineLevel="0" collapsed="false">
      <c r="A8" s="4" t="s">
        <v>21</v>
      </c>
      <c r="B8" s="4" t="s">
        <v>22</v>
      </c>
      <c r="C8" s="5" t="n">
        <v>2</v>
      </c>
      <c r="D8" s="5" t="n">
        <v>0.5</v>
      </c>
      <c r="E8" s="5" t="n">
        <v>1</v>
      </c>
      <c r="F8" s="4" t="s">
        <v>15</v>
      </c>
      <c r="G8" s="5" t="s">
        <v>16</v>
      </c>
    </row>
    <row r="9" customFormat="false" ht="27.75" hidden="false" customHeight="true" outlineLevel="0" collapsed="false">
      <c r="A9" s="6" t="s">
        <v>23</v>
      </c>
      <c r="B9" s="6" t="s">
        <v>24</v>
      </c>
      <c r="C9" s="7" t="n">
        <v>3</v>
      </c>
      <c r="D9" s="7" t="n">
        <v>12.86</v>
      </c>
      <c r="E9" s="7" t="n">
        <v>38.58</v>
      </c>
      <c r="F9" s="6" t="s">
        <v>25</v>
      </c>
      <c r="G9" s="7" t="s">
        <v>12</v>
      </c>
    </row>
    <row r="10" customFormat="false" ht="27.75" hidden="false" customHeight="true" outlineLevel="0" collapsed="false">
      <c r="A10" s="4" t="s">
        <v>26</v>
      </c>
      <c r="B10" s="4" t="s">
        <v>27</v>
      </c>
      <c r="C10" s="5" t="n">
        <v>1</v>
      </c>
      <c r="D10" s="5" t="n">
        <v>18</v>
      </c>
      <c r="E10" s="5" t="n">
        <v>18</v>
      </c>
      <c r="F10" s="4" t="s">
        <v>28</v>
      </c>
      <c r="G10" s="5" t="s">
        <v>12</v>
      </c>
    </row>
    <row r="11" customFormat="false" ht="27.75" hidden="false" customHeight="true" outlineLevel="0" collapsed="false">
      <c r="A11" s="6" t="s">
        <v>29</v>
      </c>
      <c r="B11" s="6" t="s">
        <v>30</v>
      </c>
      <c r="C11" s="7" t="n">
        <v>2</v>
      </c>
      <c r="D11" s="7" t="n">
        <v>4</v>
      </c>
      <c r="E11" s="7" t="n">
        <v>8</v>
      </c>
      <c r="F11" s="6" t="s">
        <v>31</v>
      </c>
      <c r="G11" s="7" t="s">
        <v>16</v>
      </c>
    </row>
    <row r="12" customFormat="false" ht="27.75" hidden="false" customHeight="true" outlineLevel="0" collapsed="false">
      <c r="A12" s="4" t="s">
        <v>32</v>
      </c>
      <c r="B12" s="4" t="s">
        <v>33</v>
      </c>
      <c r="C12" s="5" t="n">
        <v>2</v>
      </c>
      <c r="D12" s="5" t="n">
        <v>4.66</v>
      </c>
      <c r="E12" s="5" t="n">
        <v>9.32</v>
      </c>
      <c r="F12" s="4" t="s">
        <v>34</v>
      </c>
      <c r="G12" s="5" t="s">
        <v>12</v>
      </c>
    </row>
    <row r="13" customFormat="false" ht="27.75" hidden="false" customHeight="true" outlineLevel="0" collapsed="false">
      <c r="A13" s="6" t="s">
        <v>35</v>
      </c>
      <c r="B13" s="6" t="s">
        <v>36</v>
      </c>
      <c r="C13" s="7" t="n">
        <v>4</v>
      </c>
      <c r="D13" s="7" t="n">
        <v>2</v>
      </c>
      <c r="E13" s="7" t="n">
        <v>8</v>
      </c>
      <c r="F13" s="6" t="s">
        <v>37</v>
      </c>
      <c r="G13" s="7" t="s">
        <v>12</v>
      </c>
    </row>
    <row r="14" customFormat="false" ht="27.75" hidden="false" customHeight="true" outlineLevel="0" collapsed="false">
      <c r="A14" s="4" t="s">
        <v>38</v>
      </c>
      <c r="B14" s="4" t="s">
        <v>39</v>
      </c>
      <c r="C14" s="5" t="n">
        <v>3</v>
      </c>
      <c r="D14" s="5" t="n">
        <v>0.8</v>
      </c>
      <c r="E14" s="5" t="n">
        <v>2.4</v>
      </c>
      <c r="F14" s="4" t="s">
        <v>40</v>
      </c>
      <c r="G14" s="5" t="s">
        <v>41</v>
      </c>
    </row>
    <row r="15" customFormat="false" ht="18" hidden="false" customHeight="true" outlineLevel="0" collapsed="false">
      <c r="A15" s="3" t="s">
        <v>42</v>
      </c>
      <c r="B15" s="3"/>
      <c r="C15" s="3"/>
      <c r="D15" s="3"/>
      <c r="E15" s="3"/>
      <c r="F15" s="3"/>
      <c r="G15" s="3"/>
    </row>
    <row r="16" customFormat="false" ht="27.75" hidden="false" customHeight="true" outlineLevel="0" collapsed="false">
      <c r="A16" s="6" t="s">
        <v>43</v>
      </c>
      <c r="B16" s="6" t="s">
        <v>44</v>
      </c>
      <c r="C16" s="7" t="n">
        <v>1</v>
      </c>
      <c r="D16" s="7" t="n">
        <v>0.31</v>
      </c>
      <c r="E16" s="7" t="n">
        <v>0.31</v>
      </c>
      <c r="F16" s="6" t="s">
        <v>15</v>
      </c>
      <c r="G16" s="7" t="s">
        <v>16</v>
      </c>
    </row>
    <row r="17" customFormat="false" ht="27.75" hidden="false" customHeight="true" outlineLevel="0" collapsed="false">
      <c r="A17" s="4" t="s">
        <v>45</v>
      </c>
      <c r="B17" s="4" t="s">
        <v>46</v>
      </c>
      <c r="C17" s="5" t="n">
        <v>1</v>
      </c>
      <c r="D17" s="5" t="n">
        <v>0.3</v>
      </c>
      <c r="E17" s="5" t="n">
        <v>0.3</v>
      </c>
      <c r="F17" s="4" t="s">
        <v>15</v>
      </c>
      <c r="G17" s="5" t="s">
        <v>16</v>
      </c>
    </row>
    <row r="18" customFormat="false" ht="27.75" hidden="false" customHeight="true" outlineLevel="0" collapsed="false">
      <c r="A18" s="6" t="s">
        <v>47</v>
      </c>
      <c r="B18" s="6" t="s">
        <v>48</v>
      </c>
      <c r="C18" s="7" t="n">
        <v>1</v>
      </c>
      <c r="D18" s="7" t="n">
        <v>10.23</v>
      </c>
      <c r="E18" s="7" t="n">
        <v>10.23</v>
      </c>
      <c r="F18" s="6" t="s">
        <v>49</v>
      </c>
      <c r="G18" s="7" t="s">
        <v>12</v>
      </c>
    </row>
    <row r="19" customFormat="false" ht="27.75" hidden="false" customHeight="true" outlineLevel="0" collapsed="false">
      <c r="A19" s="4" t="s">
        <v>50</v>
      </c>
      <c r="B19" s="4" t="s">
        <v>51</v>
      </c>
      <c r="C19" s="5" t="n">
        <v>1</v>
      </c>
      <c r="D19" s="5" t="n">
        <v>5</v>
      </c>
      <c r="E19" s="5" t="n">
        <v>5</v>
      </c>
      <c r="F19" s="4" t="s">
        <v>52</v>
      </c>
      <c r="G19" s="5" t="s">
        <v>12</v>
      </c>
    </row>
    <row r="20" customFormat="false" ht="27.75" hidden="false" customHeight="true" outlineLevel="0" collapsed="false">
      <c r="A20" s="6" t="s">
        <v>53</v>
      </c>
      <c r="B20" s="6" t="s">
        <v>54</v>
      </c>
      <c r="C20" s="7" t="n">
        <v>4</v>
      </c>
      <c r="D20" s="7" t="s">
        <v>55</v>
      </c>
      <c r="E20" s="7" t="s">
        <v>55</v>
      </c>
      <c r="F20" s="6" t="s">
        <v>56</v>
      </c>
      <c r="G20" s="7" t="s">
        <v>12</v>
      </c>
    </row>
    <row r="21" customFormat="false" ht="27.75" hidden="false" customHeight="true" outlineLevel="0" collapsed="false">
      <c r="A21" s="4" t="s">
        <v>57</v>
      </c>
      <c r="B21" s="4" t="s">
        <v>58</v>
      </c>
      <c r="C21" s="5" t="n">
        <v>4</v>
      </c>
      <c r="D21" s="5" t="n">
        <v>15.6</v>
      </c>
      <c r="E21" s="5" t="n">
        <v>62.4</v>
      </c>
      <c r="F21" s="4" t="s">
        <v>59</v>
      </c>
      <c r="G21" s="5" t="s">
        <v>12</v>
      </c>
    </row>
    <row r="22" customFormat="false" ht="27.75" hidden="false" customHeight="true" outlineLevel="0" collapsed="false">
      <c r="A22" s="6" t="s">
        <v>60</v>
      </c>
      <c r="B22" s="6" t="s">
        <v>61</v>
      </c>
      <c r="C22" s="7" t="n">
        <v>1</v>
      </c>
      <c r="D22" s="7" t="n">
        <v>31</v>
      </c>
      <c r="E22" s="7" t="n">
        <v>31</v>
      </c>
      <c r="F22" s="6" t="s">
        <v>62</v>
      </c>
      <c r="G22" s="7" t="s">
        <v>12</v>
      </c>
    </row>
    <row r="23" customFormat="false" ht="18" hidden="false" customHeight="true" outlineLevel="0" collapsed="false">
      <c r="A23" s="3" t="s">
        <v>63</v>
      </c>
      <c r="B23" s="3"/>
      <c r="C23" s="3"/>
      <c r="D23" s="3"/>
      <c r="E23" s="3"/>
      <c r="F23" s="3"/>
      <c r="G23" s="3"/>
    </row>
    <row r="24" customFormat="false" ht="27.75" hidden="false" customHeight="true" outlineLevel="0" collapsed="false">
      <c r="A24" s="4" t="s">
        <v>64</v>
      </c>
      <c r="B24" s="4" t="s">
        <v>65</v>
      </c>
      <c r="C24" s="5" t="n">
        <v>1</v>
      </c>
      <c r="D24" s="5" t="n">
        <v>22</v>
      </c>
      <c r="E24" s="5" t="n">
        <v>22</v>
      </c>
      <c r="F24" s="4" t="s">
        <v>66</v>
      </c>
      <c r="G24" s="5" t="s">
        <v>12</v>
      </c>
    </row>
    <row r="25" customFormat="false" ht="27.75" hidden="false" customHeight="true" outlineLevel="0" collapsed="false">
      <c r="A25" s="6" t="s">
        <v>67</v>
      </c>
      <c r="B25" s="6" t="s">
        <v>68</v>
      </c>
      <c r="C25" s="7" t="n">
        <v>1</v>
      </c>
      <c r="D25" s="7" t="s">
        <v>55</v>
      </c>
      <c r="E25" s="7" t="s">
        <v>55</v>
      </c>
      <c r="F25" s="6" t="s">
        <v>69</v>
      </c>
      <c r="G25" s="7" t="s">
        <v>12</v>
      </c>
    </row>
    <row r="26" customFormat="false" ht="27.75" hidden="false" customHeight="true" outlineLevel="0" collapsed="false">
      <c r="A26" s="4" t="s">
        <v>70</v>
      </c>
      <c r="B26" s="4" t="s">
        <v>68</v>
      </c>
      <c r="C26" s="5" t="n">
        <v>2</v>
      </c>
      <c r="D26" s="5" t="s">
        <v>55</v>
      </c>
      <c r="E26" s="5" t="s">
        <v>55</v>
      </c>
      <c r="F26" s="4" t="s">
        <v>69</v>
      </c>
      <c r="G26" s="5" t="s">
        <v>12</v>
      </c>
    </row>
    <row r="27" customFormat="false" ht="27.75" hidden="false" customHeight="true" outlineLevel="0" collapsed="false">
      <c r="A27" s="6" t="s">
        <v>71</v>
      </c>
      <c r="B27" s="6" t="s">
        <v>68</v>
      </c>
      <c r="C27" s="7" t="n">
        <v>3</v>
      </c>
      <c r="D27" s="7" t="s">
        <v>55</v>
      </c>
      <c r="E27" s="7" t="s">
        <v>55</v>
      </c>
      <c r="F27" s="6" t="s">
        <v>69</v>
      </c>
      <c r="G27" s="7" t="s">
        <v>12</v>
      </c>
    </row>
    <row r="28" customFormat="false" ht="27.75" hidden="false" customHeight="true" outlineLevel="0" collapsed="false">
      <c r="A28" s="4" t="s">
        <v>72</v>
      </c>
      <c r="B28" s="4" t="s">
        <v>73</v>
      </c>
      <c r="C28" s="5" t="n">
        <v>6</v>
      </c>
      <c r="D28" s="5" t="n">
        <v>0.37</v>
      </c>
      <c r="E28" s="5" t="n">
        <v>2.22</v>
      </c>
      <c r="F28" s="4" t="s">
        <v>15</v>
      </c>
      <c r="G28" s="5" t="s">
        <v>16</v>
      </c>
    </row>
    <row r="29" customFormat="false" ht="27.75" hidden="false" customHeight="true" outlineLevel="0" collapsed="false">
      <c r="A29" s="6" t="s">
        <v>74</v>
      </c>
      <c r="B29" s="6" t="s">
        <v>68</v>
      </c>
      <c r="C29" s="7" t="n">
        <v>8</v>
      </c>
      <c r="D29" s="7" t="s">
        <v>55</v>
      </c>
      <c r="E29" s="7" t="s">
        <v>55</v>
      </c>
      <c r="F29" s="6" t="s">
        <v>75</v>
      </c>
      <c r="G29" s="7" t="s">
        <v>12</v>
      </c>
    </row>
    <row r="30" customFormat="false" ht="27.75" hidden="false" customHeight="true" outlineLevel="0" collapsed="false">
      <c r="A30" s="4" t="s">
        <v>76</v>
      </c>
      <c r="B30" s="4" t="s">
        <v>77</v>
      </c>
      <c r="C30" s="5" t="n">
        <v>1</v>
      </c>
      <c r="D30" s="5" t="s">
        <v>55</v>
      </c>
      <c r="E30" s="5" t="s">
        <v>55</v>
      </c>
      <c r="F30" s="4" t="s">
        <v>78</v>
      </c>
      <c r="G30" s="5" t="s">
        <v>16</v>
      </c>
    </row>
    <row r="31" customFormat="false" ht="18" hidden="false" customHeight="true" outlineLevel="0" collapsed="false">
      <c r="A31" s="3" t="s">
        <v>79</v>
      </c>
      <c r="B31" s="3"/>
      <c r="C31" s="3"/>
      <c r="D31" s="3"/>
      <c r="E31" s="3"/>
      <c r="F31" s="3"/>
      <c r="G31" s="3"/>
    </row>
    <row r="32" customFormat="false" ht="27.75" hidden="false" customHeight="true" outlineLevel="0" collapsed="false">
      <c r="A32" s="6" t="s">
        <v>80</v>
      </c>
      <c r="B32" s="6" t="s">
        <v>81</v>
      </c>
      <c r="C32" s="7" t="n">
        <v>1</v>
      </c>
      <c r="D32" s="7" t="n">
        <v>20</v>
      </c>
      <c r="E32" s="7" t="n">
        <v>20</v>
      </c>
      <c r="F32" s="6" t="s">
        <v>82</v>
      </c>
      <c r="G32" s="7" t="s">
        <v>12</v>
      </c>
    </row>
    <row r="33" customFormat="false" ht="27.75" hidden="false" customHeight="true" outlineLevel="0" collapsed="false">
      <c r="A33" s="4" t="s">
        <v>83</v>
      </c>
      <c r="B33" s="4" t="s">
        <v>84</v>
      </c>
      <c r="C33" s="5" t="n">
        <v>3</v>
      </c>
      <c r="D33" s="5" t="n">
        <v>1.3</v>
      </c>
      <c r="E33" s="5" t="n">
        <v>3.9</v>
      </c>
      <c r="F33" s="4" t="s">
        <v>15</v>
      </c>
      <c r="G33" s="5" t="s">
        <v>16</v>
      </c>
    </row>
    <row r="34" customFormat="false" ht="27.75" hidden="false" customHeight="true" outlineLevel="0" collapsed="false">
      <c r="A34" s="6" t="s">
        <v>85</v>
      </c>
      <c r="B34" s="6" t="s">
        <v>86</v>
      </c>
      <c r="C34" s="7" t="n">
        <v>2</v>
      </c>
      <c r="D34" s="7" t="n">
        <v>3.14</v>
      </c>
      <c r="E34" s="7" t="n">
        <v>6.28</v>
      </c>
      <c r="F34" s="6" t="s">
        <v>87</v>
      </c>
      <c r="G34" s="7" t="s">
        <v>16</v>
      </c>
    </row>
    <row r="35" customFormat="false" ht="27.75" hidden="false" customHeight="true" outlineLevel="0" collapsed="false">
      <c r="A35" s="4" t="s">
        <v>88</v>
      </c>
      <c r="B35" s="4" t="s">
        <v>89</v>
      </c>
      <c r="C35" s="5" t="n">
        <v>1</v>
      </c>
      <c r="D35" s="5" t="n">
        <v>0.21</v>
      </c>
      <c r="E35" s="5" t="n">
        <v>0.21</v>
      </c>
      <c r="F35" s="4" t="s">
        <v>15</v>
      </c>
      <c r="G35" s="5" t="s">
        <v>16</v>
      </c>
    </row>
    <row r="36" customFormat="false" ht="27.75" hidden="false" customHeight="true" outlineLevel="0" collapsed="false">
      <c r="A36" s="6" t="s">
        <v>90</v>
      </c>
      <c r="B36" s="6" t="s">
        <v>91</v>
      </c>
      <c r="C36" s="7" t="n">
        <v>1</v>
      </c>
      <c r="D36" s="7" t="n">
        <v>0.21</v>
      </c>
      <c r="E36" s="7" t="n">
        <v>0.21</v>
      </c>
      <c r="F36" s="6" t="s">
        <v>15</v>
      </c>
      <c r="G36" s="7" t="s">
        <v>16</v>
      </c>
    </row>
    <row r="37" customFormat="false" ht="27.75" hidden="false" customHeight="true" outlineLevel="0" collapsed="false">
      <c r="A37" s="4" t="s">
        <v>92</v>
      </c>
      <c r="B37" s="4" t="s">
        <v>93</v>
      </c>
      <c r="C37" s="5" t="n">
        <v>1</v>
      </c>
      <c r="D37" s="5" t="n">
        <v>0.14</v>
      </c>
      <c r="E37" s="5" t="n">
        <v>0.14</v>
      </c>
      <c r="F37" s="4" t="s">
        <v>15</v>
      </c>
      <c r="G37" s="5" t="s">
        <v>16</v>
      </c>
    </row>
    <row r="38" customFormat="false" ht="27.75" hidden="false" customHeight="true" outlineLevel="0" collapsed="false">
      <c r="A38" s="6" t="s">
        <v>94</v>
      </c>
      <c r="B38" s="6" t="s">
        <v>95</v>
      </c>
      <c r="C38" s="7" t="n">
        <v>1</v>
      </c>
      <c r="D38" s="7" t="n">
        <v>13</v>
      </c>
      <c r="E38" s="7" t="n">
        <v>13</v>
      </c>
      <c r="F38" s="6" t="s">
        <v>96</v>
      </c>
      <c r="G38" s="7" t="s">
        <v>16</v>
      </c>
    </row>
    <row r="39" customFormat="false" ht="27.75" hidden="false" customHeight="true" outlineLevel="0" collapsed="false">
      <c r="A39" s="4" t="s">
        <v>97</v>
      </c>
      <c r="B39" s="4" t="s">
        <v>98</v>
      </c>
      <c r="C39" s="5" t="n">
        <v>1</v>
      </c>
      <c r="D39" s="5" t="n">
        <v>13</v>
      </c>
      <c r="E39" s="5" t="n">
        <v>13</v>
      </c>
      <c r="F39" s="4" t="s">
        <v>99</v>
      </c>
      <c r="G39" s="5" t="s">
        <v>16</v>
      </c>
    </row>
    <row r="40" customFormat="false" ht="27.75" hidden="false" customHeight="true" outlineLevel="0" collapsed="false">
      <c r="A40" s="6" t="s">
        <v>100</v>
      </c>
      <c r="B40" s="6" t="s">
        <v>101</v>
      </c>
      <c r="C40" s="7" t="n">
        <v>1</v>
      </c>
      <c r="D40" s="7" t="n">
        <v>16.5</v>
      </c>
      <c r="E40" s="7" t="n">
        <v>16.5</v>
      </c>
      <c r="F40" s="6" t="s">
        <v>102</v>
      </c>
      <c r="G40" s="7" t="s">
        <v>12</v>
      </c>
    </row>
    <row r="41" customFormat="false" ht="18" hidden="false" customHeight="true" outlineLevel="0" collapsed="false">
      <c r="A41" s="3" t="s">
        <v>103</v>
      </c>
      <c r="B41" s="3"/>
      <c r="C41" s="3"/>
      <c r="D41" s="3"/>
      <c r="E41" s="3"/>
      <c r="F41" s="3"/>
      <c r="G41" s="3"/>
    </row>
    <row r="42" customFormat="false" ht="27.75" hidden="false" customHeight="true" outlineLevel="0" collapsed="false">
      <c r="A42" s="4" t="s">
        <v>104</v>
      </c>
      <c r="B42" s="4" t="s">
        <v>105</v>
      </c>
      <c r="C42" s="5" t="n">
        <v>1</v>
      </c>
      <c r="D42" s="5" t="n">
        <v>14</v>
      </c>
      <c r="E42" s="5" t="n">
        <v>14</v>
      </c>
      <c r="F42" s="4" t="s">
        <v>106</v>
      </c>
      <c r="G42" s="5" t="s">
        <v>12</v>
      </c>
    </row>
    <row r="43" customFormat="false" ht="27.75" hidden="false" customHeight="true" outlineLevel="0" collapsed="false">
      <c r="A43" s="6" t="s">
        <v>107</v>
      </c>
      <c r="B43" s="6" t="s">
        <v>108</v>
      </c>
      <c r="C43" s="7" t="n">
        <v>1</v>
      </c>
      <c r="D43" s="7" t="n">
        <v>5</v>
      </c>
      <c r="E43" s="7" t="n">
        <v>5</v>
      </c>
      <c r="F43" s="6" t="s">
        <v>106</v>
      </c>
      <c r="G43" s="7" t="s">
        <v>41</v>
      </c>
    </row>
    <row r="44" customFormat="false" ht="27.75" hidden="false" customHeight="true" outlineLevel="0" collapsed="false">
      <c r="A44" s="4" t="s">
        <v>109</v>
      </c>
      <c r="B44" s="4" t="s">
        <v>110</v>
      </c>
      <c r="C44" s="5" t="n">
        <v>3</v>
      </c>
      <c r="D44" s="5" t="n">
        <v>0.7</v>
      </c>
      <c r="E44" s="5" t="n">
        <v>2.1</v>
      </c>
      <c r="F44" s="4" t="s">
        <v>15</v>
      </c>
      <c r="G44" s="5" t="s">
        <v>16</v>
      </c>
    </row>
    <row r="45" customFormat="false" ht="27.75" hidden="false" customHeight="true" outlineLevel="0" collapsed="false">
      <c r="A45" s="6" t="s">
        <v>111</v>
      </c>
      <c r="B45" s="6" t="s">
        <v>112</v>
      </c>
      <c r="C45" s="7" t="n">
        <v>2</v>
      </c>
      <c r="D45" s="7" t="n">
        <v>0.54</v>
      </c>
      <c r="E45" s="7" t="n">
        <v>1.08</v>
      </c>
      <c r="F45" s="6" t="s">
        <v>15</v>
      </c>
      <c r="G45" s="7" t="s">
        <v>16</v>
      </c>
    </row>
    <row r="46" customFormat="false" ht="21.75" hidden="false" customHeight="true" outlineLevel="0" collapsed="false">
      <c r="A46" s="8" t="s">
        <v>113</v>
      </c>
      <c r="B46" s="8"/>
      <c r="C46" s="8"/>
      <c r="D46" s="8"/>
      <c r="E46" s="9" t="n">
        <f aca="false">SUMIF(E3:E45,"&lt;&gt;-")</f>
        <v>623.73</v>
      </c>
      <c r="F46" s="10"/>
      <c r="G46" s="10"/>
    </row>
  </sheetData>
  <mergeCells count="7">
    <mergeCell ref="A1:G1"/>
    <mergeCell ref="A3:G3"/>
    <mergeCell ref="A15:G15"/>
    <mergeCell ref="A23:G23"/>
    <mergeCell ref="A31:G31"/>
    <mergeCell ref="A41:G41"/>
    <mergeCell ref="A46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2"/>
    <col collapsed="false" customWidth="true" hidden="false" outlineLevel="0" max="3" min="3" style="0" width="6"/>
    <col collapsed="false" customWidth="true" hidden="false" outlineLevel="0" max="5" min="4" style="0" width="14"/>
    <col collapsed="false" customWidth="true" hidden="false" outlineLevel="0" max="6" min="6" style="0" width="48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" t="s">
        <v>114</v>
      </c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8" hidden="false" customHeight="true" outlineLevel="0" collapsed="false">
      <c r="A3" s="3" t="s">
        <v>115</v>
      </c>
      <c r="B3" s="3"/>
      <c r="C3" s="3"/>
      <c r="D3" s="3"/>
      <c r="E3" s="3"/>
      <c r="F3" s="3"/>
      <c r="G3" s="3"/>
    </row>
    <row r="4" customFormat="false" ht="27.75" hidden="false" customHeight="true" outlineLevel="0" collapsed="false">
      <c r="A4" s="4" t="s">
        <v>116</v>
      </c>
      <c r="B4" s="4" t="s">
        <v>117</v>
      </c>
      <c r="C4" s="5" t="n">
        <v>1</v>
      </c>
      <c r="D4" s="5" t="n">
        <v>54</v>
      </c>
      <c r="E4" s="5" t="n">
        <v>54</v>
      </c>
      <c r="F4" s="4" t="s">
        <v>118</v>
      </c>
      <c r="G4" s="5" t="s">
        <v>41</v>
      </c>
    </row>
    <row r="5" customFormat="false" ht="27.75" hidden="false" customHeight="true" outlineLevel="0" collapsed="false">
      <c r="A5" s="6" t="s">
        <v>119</v>
      </c>
      <c r="B5" s="6" t="s">
        <v>120</v>
      </c>
      <c r="C5" s="7" t="n">
        <v>2</v>
      </c>
      <c r="D5" s="7" t="n">
        <v>15</v>
      </c>
      <c r="E5" s="7" t="n">
        <v>30</v>
      </c>
      <c r="F5" s="6" t="s">
        <v>121</v>
      </c>
      <c r="G5" s="7" t="s">
        <v>41</v>
      </c>
    </row>
    <row r="6" customFormat="false" ht="27.75" hidden="false" customHeight="true" outlineLevel="0" collapsed="false">
      <c r="A6" s="4" t="s">
        <v>122</v>
      </c>
      <c r="B6" s="4" t="s">
        <v>123</v>
      </c>
      <c r="C6" s="5" t="n">
        <v>2</v>
      </c>
      <c r="D6" s="5" t="n">
        <v>4</v>
      </c>
      <c r="E6" s="5" t="n">
        <v>8</v>
      </c>
      <c r="F6" s="4" t="s">
        <v>124</v>
      </c>
      <c r="G6" s="5" t="s">
        <v>41</v>
      </c>
    </row>
    <row r="7" customFormat="false" ht="27.75" hidden="false" customHeight="true" outlineLevel="0" collapsed="false">
      <c r="A7" s="6" t="s">
        <v>125</v>
      </c>
      <c r="B7" s="6" t="s">
        <v>126</v>
      </c>
      <c r="C7" s="7" t="n">
        <v>1</v>
      </c>
      <c r="D7" s="7" t="n">
        <v>64</v>
      </c>
      <c r="E7" s="7" t="n">
        <v>64</v>
      </c>
      <c r="F7" s="6" t="s">
        <v>127</v>
      </c>
      <c r="G7" s="7" t="s">
        <v>12</v>
      </c>
    </row>
    <row r="8" customFormat="false" ht="27.75" hidden="false" customHeight="true" outlineLevel="0" collapsed="false">
      <c r="A8" s="4" t="s">
        <v>128</v>
      </c>
      <c r="B8" s="4" t="s">
        <v>129</v>
      </c>
      <c r="C8" s="5" t="n">
        <v>1</v>
      </c>
      <c r="D8" s="5" t="n">
        <v>4</v>
      </c>
      <c r="E8" s="5" t="n">
        <v>4</v>
      </c>
      <c r="F8" s="4" t="s">
        <v>130</v>
      </c>
      <c r="G8" s="5" t="s">
        <v>41</v>
      </c>
    </row>
    <row r="9" customFormat="false" ht="27.75" hidden="false" customHeight="true" outlineLevel="0" collapsed="false">
      <c r="A9" s="6" t="s">
        <v>131</v>
      </c>
      <c r="B9" s="6" t="s">
        <v>132</v>
      </c>
      <c r="C9" s="7" t="n">
        <v>1</v>
      </c>
      <c r="D9" s="7" t="n">
        <v>4</v>
      </c>
      <c r="E9" s="7" t="n">
        <v>4</v>
      </c>
      <c r="F9" s="6" t="s">
        <v>133</v>
      </c>
      <c r="G9" s="7" t="s">
        <v>41</v>
      </c>
    </row>
    <row r="10" customFormat="false" ht="18" hidden="false" customHeight="true" outlineLevel="0" collapsed="false">
      <c r="A10" s="3" t="s">
        <v>134</v>
      </c>
      <c r="B10" s="3"/>
      <c r="C10" s="3"/>
      <c r="D10" s="3"/>
      <c r="E10" s="3"/>
      <c r="F10" s="3"/>
      <c r="G10" s="3"/>
    </row>
    <row r="11" customFormat="false" ht="27.75" hidden="false" customHeight="true" outlineLevel="0" collapsed="false">
      <c r="A11" s="4" t="s">
        <v>135</v>
      </c>
      <c r="B11" s="4" t="s">
        <v>136</v>
      </c>
      <c r="C11" s="5" t="n">
        <v>1</v>
      </c>
      <c r="D11" s="5" t="n">
        <v>20</v>
      </c>
      <c r="E11" s="5" t="n">
        <v>20</v>
      </c>
      <c r="F11" s="4" t="s">
        <v>137</v>
      </c>
      <c r="G11" s="5" t="s">
        <v>16</v>
      </c>
    </row>
    <row r="12" customFormat="false" ht="27.75" hidden="false" customHeight="true" outlineLevel="0" collapsed="false">
      <c r="A12" s="6" t="s">
        <v>138</v>
      </c>
      <c r="B12" s="6" t="s">
        <v>139</v>
      </c>
      <c r="C12" s="7" t="n">
        <v>10</v>
      </c>
      <c r="D12" s="7" t="n">
        <v>0.1</v>
      </c>
      <c r="E12" s="7" t="n">
        <v>1</v>
      </c>
      <c r="F12" s="6" t="s">
        <v>15</v>
      </c>
      <c r="G12" s="7" t="s">
        <v>16</v>
      </c>
    </row>
    <row r="13" customFormat="false" ht="27.75" hidden="false" customHeight="true" outlineLevel="0" collapsed="false">
      <c r="A13" s="4" t="s">
        <v>140</v>
      </c>
      <c r="B13" s="4" t="s">
        <v>141</v>
      </c>
      <c r="C13" s="5" t="n">
        <v>1</v>
      </c>
      <c r="D13" s="5" t="n">
        <v>20</v>
      </c>
      <c r="E13" s="5" t="n">
        <v>20</v>
      </c>
      <c r="F13" s="4" t="s">
        <v>142</v>
      </c>
      <c r="G13" s="5" t="s">
        <v>143</v>
      </c>
    </row>
    <row r="14" customFormat="false" ht="27.75" hidden="false" customHeight="true" outlineLevel="0" collapsed="false">
      <c r="A14" s="6" t="s">
        <v>144</v>
      </c>
      <c r="B14" s="6" t="s">
        <v>145</v>
      </c>
      <c r="C14" s="7" t="n">
        <v>4</v>
      </c>
      <c r="D14" s="7" t="s">
        <v>55</v>
      </c>
      <c r="E14" s="7" t="s">
        <v>55</v>
      </c>
      <c r="F14" s="6" t="s">
        <v>75</v>
      </c>
      <c r="G14" s="7" t="s">
        <v>12</v>
      </c>
    </row>
    <row r="15" customFormat="false" ht="27.75" hidden="false" customHeight="true" outlineLevel="0" collapsed="false">
      <c r="A15" s="4" t="s">
        <v>146</v>
      </c>
      <c r="B15" s="4" t="s">
        <v>147</v>
      </c>
      <c r="C15" s="5" t="n">
        <v>5</v>
      </c>
      <c r="D15" s="5" t="s">
        <v>55</v>
      </c>
      <c r="E15" s="5" t="s">
        <v>55</v>
      </c>
      <c r="F15" s="4" t="s">
        <v>15</v>
      </c>
      <c r="G15" s="5" t="s">
        <v>16</v>
      </c>
    </row>
    <row r="16" customFormat="false" ht="21.75" hidden="false" customHeight="true" outlineLevel="0" collapsed="false">
      <c r="A16" s="8" t="s">
        <v>148</v>
      </c>
      <c r="B16" s="8"/>
      <c r="C16" s="8"/>
      <c r="D16" s="8"/>
      <c r="E16" s="9" t="n">
        <f aca="false">SUMIF(E3:E15,"&lt;&gt;-")</f>
        <v>205</v>
      </c>
      <c r="F16" s="10"/>
      <c r="G16" s="10"/>
    </row>
  </sheetData>
  <mergeCells count="4">
    <mergeCell ref="A1:G1"/>
    <mergeCell ref="A3:G3"/>
    <mergeCell ref="A10:G10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2"/>
    <col collapsed="false" customWidth="true" hidden="false" outlineLevel="0" max="3" min="3" style="0" width="6"/>
    <col collapsed="false" customWidth="true" hidden="false" outlineLevel="0" max="5" min="4" style="0" width="14"/>
    <col collapsed="false" customWidth="true" hidden="false" outlineLevel="0" max="6" min="6" style="0" width="48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" t="s">
        <v>149</v>
      </c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8" hidden="false" customHeight="true" outlineLevel="0" collapsed="false">
      <c r="A3" s="3" t="s">
        <v>150</v>
      </c>
      <c r="B3" s="3"/>
      <c r="C3" s="3"/>
      <c r="D3" s="3"/>
      <c r="E3" s="3"/>
      <c r="F3" s="3"/>
      <c r="G3" s="3"/>
    </row>
    <row r="4" customFormat="false" ht="27.75" hidden="false" customHeight="true" outlineLevel="0" collapsed="false">
      <c r="A4" s="4" t="s">
        <v>151</v>
      </c>
      <c r="B4" s="4" t="s">
        <v>152</v>
      </c>
      <c r="C4" s="5" t="n">
        <v>10</v>
      </c>
      <c r="D4" s="5" t="n">
        <v>0.04</v>
      </c>
      <c r="E4" s="5" t="n">
        <v>0.4</v>
      </c>
      <c r="F4" s="4" t="s">
        <v>142</v>
      </c>
      <c r="G4" s="5" t="s">
        <v>12</v>
      </c>
    </row>
    <row r="5" customFormat="false" ht="27.75" hidden="false" customHeight="true" outlineLevel="0" collapsed="false">
      <c r="A5" s="6" t="s">
        <v>153</v>
      </c>
      <c r="B5" s="6" t="s">
        <v>154</v>
      </c>
      <c r="C5" s="7" t="n">
        <v>2</v>
      </c>
      <c r="D5" s="7" t="n">
        <v>0.05</v>
      </c>
      <c r="E5" s="7" t="n">
        <v>0.1</v>
      </c>
      <c r="F5" s="6" t="s">
        <v>142</v>
      </c>
      <c r="G5" s="7" t="s">
        <v>12</v>
      </c>
    </row>
    <row r="6" customFormat="false" ht="27.75" hidden="false" customHeight="true" outlineLevel="0" collapsed="false">
      <c r="A6" s="4" t="s">
        <v>155</v>
      </c>
      <c r="B6" s="4" t="s">
        <v>156</v>
      </c>
      <c r="C6" s="5" t="n">
        <v>4</v>
      </c>
      <c r="D6" s="5" t="n">
        <v>0.05</v>
      </c>
      <c r="E6" s="5" t="n">
        <v>0.2</v>
      </c>
      <c r="F6" s="4" t="s">
        <v>142</v>
      </c>
      <c r="G6" s="5" t="s">
        <v>12</v>
      </c>
    </row>
    <row r="7" customFormat="false" ht="27.75" hidden="false" customHeight="true" outlineLevel="0" collapsed="false">
      <c r="A7" s="6" t="s">
        <v>157</v>
      </c>
      <c r="B7" s="6" t="s">
        <v>158</v>
      </c>
      <c r="C7" s="7" t="n">
        <v>25</v>
      </c>
      <c r="D7" s="7" t="n">
        <v>0.05</v>
      </c>
      <c r="E7" s="7" t="n">
        <v>1.25</v>
      </c>
      <c r="F7" s="6" t="s">
        <v>142</v>
      </c>
      <c r="G7" s="7" t="s">
        <v>12</v>
      </c>
    </row>
    <row r="8" customFormat="false" ht="27.75" hidden="false" customHeight="true" outlineLevel="0" collapsed="false">
      <c r="A8" s="4" t="s">
        <v>159</v>
      </c>
      <c r="B8" s="4" t="s">
        <v>160</v>
      </c>
      <c r="C8" s="5" t="n">
        <v>16</v>
      </c>
      <c r="D8" s="5" t="n">
        <v>0.05</v>
      </c>
      <c r="E8" s="5" t="n">
        <v>0.8</v>
      </c>
      <c r="F8" s="4" t="s">
        <v>142</v>
      </c>
      <c r="G8" s="5" t="s">
        <v>12</v>
      </c>
    </row>
    <row r="9" customFormat="false" ht="27.75" hidden="false" customHeight="true" outlineLevel="0" collapsed="false">
      <c r="A9" s="6" t="s">
        <v>161</v>
      </c>
      <c r="B9" s="6" t="s">
        <v>162</v>
      </c>
      <c r="C9" s="7" t="n">
        <v>20</v>
      </c>
      <c r="D9" s="7" t="n">
        <v>0.06</v>
      </c>
      <c r="E9" s="7" t="n">
        <v>1.2</v>
      </c>
      <c r="F9" s="6" t="s">
        <v>142</v>
      </c>
      <c r="G9" s="7" t="s">
        <v>12</v>
      </c>
    </row>
    <row r="10" customFormat="false" ht="27.75" hidden="false" customHeight="true" outlineLevel="0" collapsed="false">
      <c r="A10" s="4" t="s">
        <v>163</v>
      </c>
      <c r="B10" s="4" t="s">
        <v>164</v>
      </c>
      <c r="C10" s="5" t="n">
        <v>18</v>
      </c>
      <c r="D10" s="5" t="n">
        <v>0.06</v>
      </c>
      <c r="E10" s="5" t="n">
        <v>1.08</v>
      </c>
      <c r="F10" s="4" t="s">
        <v>142</v>
      </c>
      <c r="G10" s="5" t="s">
        <v>12</v>
      </c>
    </row>
    <row r="11" customFormat="false" ht="27.75" hidden="false" customHeight="true" outlineLevel="0" collapsed="false">
      <c r="A11" s="6" t="s">
        <v>165</v>
      </c>
      <c r="B11" s="6" t="s">
        <v>166</v>
      </c>
      <c r="C11" s="7" t="n">
        <v>10</v>
      </c>
      <c r="D11" s="7" t="n">
        <v>0.07</v>
      </c>
      <c r="E11" s="7" t="n">
        <v>0.7</v>
      </c>
      <c r="F11" s="6" t="s">
        <v>142</v>
      </c>
      <c r="G11" s="7" t="s">
        <v>12</v>
      </c>
    </row>
    <row r="12" customFormat="false" ht="27.75" hidden="false" customHeight="true" outlineLevel="0" collapsed="false">
      <c r="A12" s="4" t="s">
        <v>167</v>
      </c>
      <c r="B12" s="4" t="s">
        <v>168</v>
      </c>
      <c r="C12" s="5" t="n">
        <v>8</v>
      </c>
      <c r="D12" s="5" t="n">
        <v>0.08</v>
      </c>
      <c r="E12" s="5" t="n">
        <v>0.64</v>
      </c>
      <c r="F12" s="4" t="s">
        <v>142</v>
      </c>
      <c r="G12" s="5" t="s">
        <v>12</v>
      </c>
    </row>
    <row r="13" customFormat="false" ht="27.75" hidden="false" customHeight="true" outlineLevel="0" collapsed="false">
      <c r="A13" s="6" t="s">
        <v>169</v>
      </c>
      <c r="B13" s="6" t="s">
        <v>170</v>
      </c>
      <c r="C13" s="7" t="n">
        <v>6</v>
      </c>
      <c r="D13" s="7" t="n">
        <v>0.09</v>
      </c>
      <c r="E13" s="7" t="n">
        <v>0.54</v>
      </c>
      <c r="F13" s="6" t="s">
        <v>142</v>
      </c>
      <c r="G13" s="7" t="s">
        <v>12</v>
      </c>
    </row>
    <row r="14" customFormat="false" ht="27.75" hidden="false" customHeight="true" outlineLevel="0" collapsed="false">
      <c r="A14" s="4" t="s">
        <v>171</v>
      </c>
      <c r="B14" s="4" t="s">
        <v>172</v>
      </c>
      <c r="C14" s="5" t="n">
        <v>8</v>
      </c>
      <c r="D14" s="5" t="n">
        <v>0.06</v>
      </c>
      <c r="E14" s="5" t="n">
        <v>0.48</v>
      </c>
      <c r="F14" s="4" t="s">
        <v>142</v>
      </c>
      <c r="G14" s="5" t="s">
        <v>12</v>
      </c>
    </row>
    <row r="15" customFormat="false" ht="27.75" hidden="false" customHeight="true" outlineLevel="0" collapsed="false">
      <c r="A15" s="6" t="s">
        <v>173</v>
      </c>
      <c r="B15" s="6" t="s">
        <v>174</v>
      </c>
      <c r="C15" s="7" t="n">
        <v>3</v>
      </c>
      <c r="D15" s="7" t="n">
        <v>0.06</v>
      </c>
      <c r="E15" s="7" t="n">
        <v>0.18</v>
      </c>
      <c r="F15" s="6" t="s">
        <v>142</v>
      </c>
      <c r="G15" s="7" t="s">
        <v>12</v>
      </c>
    </row>
    <row r="16" customFormat="false" ht="27.75" hidden="false" customHeight="true" outlineLevel="0" collapsed="false">
      <c r="A16" s="4" t="s">
        <v>175</v>
      </c>
      <c r="B16" s="4" t="s">
        <v>176</v>
      </c>
      <c r="C16" s="5" t="n">
        <v>8</v>
      </c>
      <c r="D16" s="5" t="n">
        <v>0.07</v>
      </c>
      <c r="E16" s="5" t="n">
        <v>0.56</v>
      </c>
      <c r="F16" s="4" t="s">
        <v>142</v>
      </c>
      <c r="G16" s="5" t="s">
        <v>12</v>
      </c>
    </row>
    <row r="17" customFormat="false" ht="27.75" hidden="false" customHeight="true" outlineLevel="0" collapsed="false">
      <c r="A17" s="6" t="s">
        <v>177</v>
      </c>
      <c r="B17" s="6" t="s">
        <v>178</v>
      </c>
      <c r="C17" s="7" t="n">
        <v>20</v>
      </c>
      <c r="D17" s="7" t="n">
        <v>0.07</v>
      </c>
      <c r="E17" s="7" t="n">
        <v>1.4</v>
      </c>
      <c r="F17" s="6" t="s">
        <v>142</v>
      </c>
      <c r="G17" s="7" t="s">
        <v>12</v>
      </c>
    </row>
    <row r="18" customFormat="false" ht="27.75" hidden="false" customHeight="true" outlineLevel="0" collapsed="false">
      <c r="A18" s="4" t="s">
        <v>179</v>
      </c>
      <c r="B18" s="4" t="s">
        <v>180</v>
      </c>
      <c r="C18" s="5" t="n">
        <v>4</v>
      </c>
      <c r="D18" s="5" t="n">
        <v>0.09</v>
      </c>
      <c r="E18" s="5" t="n">
        <v>0.36</v>
      </c>
      <c r="F18" s="4" t="s">
        <v>142</v>
      </c>
      <c r="G18" s="5" t="s">
        <v>12</v>
      </c>
    </row>
    <row r="19" customFormat="false" ht="27.75" hidden="false" customHeight="true" outlineLevel="0" collapsed="false">
      <c r="A19" s="6" t="s">
        <v>181</v>
      </c>
      <c r="B19" s="6" t="s">
        <v>182</v>
      </c>
      <c r="C19" s="7" t="n">
        <v>6</v>
      </c>
      <c r="D19" s="7" t="n">
        <v>0.05</v>
      </c>
      <c r="E19" s="7" t="n">
        <v>0.3</v>
      </c>
      <c r="F19" s="6" t="s">
        <v>142</v>
      </c>
      <c r="G19" s="7" t="s">
        <v>12</v>
      </c>
    </row>
    <row r="20" customFormat="false" ht="27.75" hidden="false" customHeight="true" outlineLevel="0" collapsed="false">
      <c r="A20" s="4" t="s">
        <v>183</v>
      </c>
      <c r="B20" s="4" t="s">
        <v>184</v>
      </c>
      <c r="C20" s="5" t="n">
        <v>30</v>
      </c>
      <c r="D20" s="5" t="n">
        <v>0.03</v>
      </c>
      <c r="E20" s="5" t="n">
        <v>0.9</v>
      </c>
      <c r="F20" s="4" t="s">
        <v>142</v>
      </c>
      <c r="G20" s="5" t="s">
        <v>12</v>
      </c>
    </row>
    <row r="21" customFormat="false" ht="27.75" hidden="false" customHeight="true" outlineLevel="0" collapsed="false">
      <c r="A21" s="6" t="s">
        <v>185</v>
      </c>
      <c r="B21" s="6" t="s">
        <v>186</v>
      </c>
      <c r="C21" s="7" t="n">
        <v>2</v>
      </c>
      <c r="D21" s="7" t="n">
        <v>0.03</v>
      </c>
      <c r="E21" s="7" t="n">
        <v>0.09</v>
      </c>
      <c r="F21" s="6" t="s">
        <v>142</v>
      </c>
      <c r="G21" s="7" t="s">
        <v>12</v>
      </c>
    </row>
    <row r="22" customFormat="false" ht="27.75" hidden="false" customHeight="true" outlineLevel="0" collapsed="false">
      <c r="A22" s="4" t="s">
        <v>187</v>
      </c>
      <c r="B22" s="4" t="s">
        <v>188</v>
      </c>
      <c r="C22" s="5" t="n">
        <v>3</v>
      </c>
      <c r="D22" s="5" t="n">
        <v>0.03</v>
      </c>
      <c r="E22" s="5" t="n">
        <v>0.09</v>
      </c>
      <c r="F22" s="4" t="s">
        <v>142</v>
      </c>
      <c r="G22" s="5" t="s">
        <v>12</v>
      </c>
    </row>
    <row r="23" customFormat="false" ht="27.75" hidden="false" customHeight="true" outlineLevel="0" collapsed="false">
      <c r="A23" s="6" t="s">
        <v>189</v>
      </c>
      <c r="B23" s="6" t="s">
        <v>190</v>
      </c>
      <c r="C23" s="7" t="n">
        <v>30</v>
      </c>
      <c r="D23" s="7" t="n">
        <v>0.02</v>
      </c>
      <c r="E23" s="7" t="n">
        <v>0.6</v>
      </c>
      <c r="F23" s="6" t="s">
        <v>142</v>
      </c>
      <c r="G23" s="7" t="s">
        <v>12</v>
      </c>
    </row>
    <row r="24" customFormat="false" ht="18" hidden="false" customHeight="true" outlineLevel="0" collapsed="false">
      <c r="A24" s="3" t="s">
        <v>191</v>
      </c>
      <c r="B24" s="3"/>
      <c r="C24" s="3"/>
      <c r="D24" s="3"/>
      <c r="E24" s="3"/>
      <c r="F24" s="3"/>
      <c r="G24" s="3"/>
    </row>
    <row r="25" customFormat="false" ht="27.75" hidden="false" customHeight="true" outlineLevel="0" collapsed="false">
      <c r="A25" s="4" t="s">
        <v>192</v>
      </c>
      <c r="B25" s="4" t="s">
        <v>193</v>
      </c>
      <c r="C25" s="5" t="n">
        <v>1</v>
      </c>
      <c r="D25" s="5" t="n">
        <v>62.35</v>
      </c>
      <c r="E25" s="5" t="n">
        <v>62.35</v>
      </c>
      <c r="F25" s="4" t="s">
        <v>194</v>
      </c>
      <c r="G25" s="5" t="s">
        <v>16</v>
      </c>
    </row>
    <row r="26" customFormat="false" ht="27.75" hidden="false" customHeight="true" outlineLevel="0" collapsed="false">
      <c r="A26" s="6" t="s">
        <v>195</v>
      </c>
      <c r="B26" s="6" t="s">
        <v>196</v>
      </c>
      <c r="C26" s="7" t="n">
        <v>1</v>
      </c>
      <c r="D26" s="7" t="n">
        <v>14.5</v>
      </c>
      <c r="E26" s="7" t="n">
        <v>14.5</v>
      </c>
      <c r="F26" s="6" t="s">
        <v>197</v>
      </c>
      <c r="G26" s="7" t="s">
        <v>16</v>
      </c>
    </row>
    <row r="27" customFormat="false" ht="27.75" hidden="false" customHeight="true" outlineLevel="0" collapsed="false">
      <c r="A27" s="4" t="s">
        <v>198</v>
      </c>
      <c r="B27" s="4" t="s">
        <v>199</v>
      </c>
      <c r="C27" s="5" t="n">
        <v>1</v>
      </c>
      <c r="D27" s="5" t="n">
        <v>14</v>
      </c>
      <c r="E27" s="5" t="n">
        <v>14</v>
      </c>
      <c r="F27" s="4" t="s">
        <v>200</v>
      </c>
      <c r="G27" s="5" t="s">
        <v>16</v>
      </c>
    </row>
    <row r="28" customFormat="false" ht="27.75" hidden="false" customHeight="true" outlineLevel="0" collapsed="false">
      <c r="A28" s="6" t="s">
        <v>201</v>
      </c>
      <c r="B28" s="6" t="s">
        <v>202</v>
      </c>
      <c r="C28" s="7" t="n">
        <v>1</v>
      </c>
      <c r="D28" s="7" t="n">
        <v>15</v>
      </c>
      <c r="E28" s="7" t="n">
        <v>15</v>
      </c>
      <c r="F28" s="6" t="s">
        <v>203</v>
      </c>
      <c r="G28" s="7" t="s">
        <v>16</v>
      </c>
    </row>
    <row r="29" customFormat="false" ht="27.75" hidden="false" customHeight="true" outlineLevel="0" collapsed="false">
      <c r="A29" s="4" t="s">
        <v>204</v>
      </c>
      <c r="B29" s="4" t="s">
        <v>205</v>
      </c>
      <c r="C29" s="5" t="n">
        <v>1</v>
      </c>
      <c r="D29" s="5" t="n">
        <v>18</v>
      </c>
      <c r="E29" s="5" t="n">
        <v>18</v>
      </c>
      <c r="F29" s="4" t="s">
        <v>206</v>
      </c>
      <c r="G29" s="5" t="s">
        <v>16</v>
      </c>
    </row>
    <row r="30" customFormat="false" ht="21.75" hidden="false" customHeight="true" outlineLevel="0" collapsed="false">
      <c r="A30" s="8" t="s">
        <v>207</v>
      </c>
      <c r="B30" s="8"/>
      <c r="C30" s="8"/>
      <c r="D30" s="8"/>
      <c r="E30" s="9" t="n">
        <f aca="false">SUMIF(E3:E29,"&lt;&gt;-")</f>
        <v>135.72</v>
      </c>
      <c r="F30" s="10"/>
      <c r="G30" s="10"/>
    </row>
  </sheetData>
  <mergeCells count="4">
    <mergeCell ref="A1:G1"/>
    <mergeCell ref="A3:G3"/>
    <mergeCell ref="A24:G24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8"/>
  </cols>
  <sheetData>
    <row r="1" customFormat="false" ht="27.75" hidden="false" customHeight="true" outlineLevel="0" collapsed="false">
      <c r="A1" s="1" t="s">
        <v>208</v>
      </c>
      <c r="B1" s="1"/>
      <c r="C1" s="1"/>
    </row>
    <row r="2" customFormat="false" ht="24" hidden="false" customHeight="true" outlineLevel="0" collapsed="false">
      <c r="A2" s="11" t="s">
        <v>209</v>
      </c>
      <c r="B2" s="11" t="s">
        <v>210</v>
      </c>
      <c r="C2" s="11" t="s">
        <v>211</v>
      </c>
    </row>
    <row r="3" customFormat="false" ht="21.75" hidden="false" customHeight="true" outlineLevel="0" collapsed="false">
      <c r="A3" s="12" t="s">
        <v>212</v>
      </c>
      <c r="B3" s="13" t="n">
        <f aca="false">'1 - Mechanical BOM'!E46</f>
        <v>623.73</v>
      </c>
      <c r="C3" s="12" t="s">
        <v>213</v>
      </c>
    </row>
    <row r="4" customFormat="false" ht="21.75" hidden="false" customHeight="true" outlineLevel="0" collapsed="false">
      <c r="A4" s="14" t="s">
        <v>214</v>
      </c>
      <c r="B4" s="15" t="n">
        <f aca="false">'2 - Electronics BOM'!E16</f>
        <v>205</v>
      </c>
      <c r="C4" s="14" t="s">
        <v>215</v>
      </c>
    </row>
    <row r="5" customFormat="false" ht="21.75" hidden="false" customHeight="true" outlineLevel="0" collapsed="false">
      <c r="A5" s="12" t="s">
        <v>216</v>
      </c>
      <c r="B5" s="13" t="n">
        <f aca="false">'3 - Fasteners &amp; Supplies'!E30</f>
        <v>135.72</v>
      </c>
      <c r="C5" s="12" t="s">
        <v>217</v>
      </c>
    </row>
    <row r="6" customFormat="false" ht="24" hidden="false" customHeight="true" outlineLevel="0" collapsed="false">
      <c r="A6" s="8" t="s">
        <v>218</v>
      </c>
      <c r="B6" s="16" t="n">
        <f aca="false">B3+B4+B5</f>
        <v>964.45</v>
      </c>
      <c r="C6" s="17" t="s">
        <v>219</v>
      </c>
    </row>
    <row r="8" customFormat="false" ht="39.75" hidden="false" customHeight="true" outlineLevel="0" collapsed="false">
      <c r="A8" s="18" t="s">
        <v>220</v>
      </c>
      <c r="B8" s="18"/>
      <c r="C8" s="18"/>
    </row>
  </sheetData>
  <mergeCells count="2">
    <mergeCell ref="A1:C1"/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2026-08-05T23:07:53Z</dcterms:created>
  <dc:creator>openpyxl</dc:creator>
  <dc:description/>
  <dc:language>en-US</dc:language>
  <cp:lastModifiedBy/>
  <dcterms:modified xsi:type="dcterms:W3CDTF">2026-08-05T23:07:53Z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